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CM_Tracker" sheetId="1" state="visible" r:id="rId3"/>
    <sheet name="Summary" sheetId="2" state="visible" r:id="rId4"/>
  </sheets>
  <definedNames>
    <definedName function="false" hidden="true" localSheetId="0" name="_xlnm._FilterDatabase" vbProcedure="false">RCM_Tracker!$A$4:$V$39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<sst xmlns="http://schemas.openxmlformats.org/spreadsheetml/2006/main" count="564" uniqueCount="224">
  <si>
    <t xml:space="preserve">ICFR / SOx Control Testing Tracker</t>
  </si>
  <si>
    <t xml:space="preserve">Same dataset as icfr_control_testing_data.csv and the Python analysis notebook.</t>
  </si>
  <si>
    <t xml:space="preserve">Control_ID</t>
  </si>
  <si>
    <t xml:space="preserve">Process</t>
  </si>
  <si>
    <t xml:space="preserve">Risk_ID</t>
  </si>
  <si>
    <t xml:space="preserve">Risk_Description</t>
  </si>
  <si>
    <t xml:space="preserve">Control_Description</t>
  </si>
  <si>
    <t xml:space="preserve">Control_Owner</t>
  </si>
  <si>
    <t xml:space="preserve">Control_Type</t>
  </si>
  <si>
    <t xml:space="preserve">Control_Nature</t>
  </si>
  <si>
    <t xml:space="preserve">Frequency</t>
  </si>
  <si>
    <t xml:space="preserve">Assertion</t>
  </si>
  <si>
    <t xml:space="preserve">Test_Procedure</t>
  </si>
  <si>
    <t xml:space="preserve">Population_Size</t>
  </si>
  <si>
    <t xml:space="preserve">Sample_Size</t>
  </si>
  <si>
    <t xml:space="preserve">Exceptions_Noted</t>
  </si>
  <si>
    <t xml:space="preserve">Test_Date</t>
  </si>
  <si>
    <t xml:space="preserve">Tester</t>
  </si>
  <si>
    <t xml:space="preserve">Test_Result</t>
  </si>
  <si>
    <t xml:space="preserve">Deficiency_Type</t>
  </si>
  <si>
    <t xml:space="preserve">Deficiency_Severity</t>
  </si>
  <si>
    <t xml:space="preserve">Remediation_Owner</t>
  </si>
  <si>
    <t xml:space="preserve">Remediation_Due_Date</t>
  </si>
  <si>
    <t xml:space="preserve">Remediation_Status</t>
  </si>
  <si>
    <t xml:space="preserve">C-101</t>
  </si>
  <si>
    <t xml:space="preserve">Procure-to-Pay</t>
  </si>
  <si>
    <t xml:space="preserve">R-101</t>
  </si>
  <si>
    <t xml:space="preserve">Purchase orders approved by an authorised approver before issue</t>
  </si>
  <si>
    <t xml:space="preserve">R. Kapoor</t>
  </si>
  <si>
    <t xml:space="preserve">Preventive</t>
  </si>
  <si>
    <t xml:space="preserve">Manual</t>
  </si>
  <si>
    <t xml:space="preserve">Per transaction</t>
  </si>
  <si>
    <t xml:space="preserve">Occurrence</t>
  </si>
  <si>
    <t xml:space="preserve">Inspect evidence &amp; re-perform</t>
  </si>
  <si>
    <t xml:space="preserve">2025-08-01</t>
  </si>
  <si>
    <t xml:space="preserve">Reviewer B</t>
  </si>
  <si>
    <t xml:space="preserve">Pass</t>
  </si>
  <si>
    <t xml:space="preserve">C-102</t>
  </si>
  <si>
    <t xml:space="preserve">R-102</t>
  </si>
  <si>
    <t xml:space="preserve">Three-way match (PO, GRN, invoice) performed before payment</t>
  </si>
  <si>
    <t xml:space="preserve">S. Iyer</t>
  </si>
  <si>
    <t xml:space="preserve">Automated</t>
  </si>
  <si>
    <t xml:space="preserve">Daily</t>
  </si>
  <si>
    <t xml:space="preserve">Accuracy</t>
  </si>
  <si>
    <t xml:space="preserve">2025-08-24</t>
  </si>
  <si>
    <t xml:space="preserve">Sadia Y.</t>
  </si>
  <si>
    <t xml:space="preserve">C-103</t>
  </si>
  <si>
    <t xml:space="preserve">R-103</t>
  </si>
  <si>
    <t xml:space="preserve">Vendor master additions/changes independently reviewed</t>
  </si>
  <si>
    <t xml:space="preserve">Detective</t>
  </si>
  <si>
    <t xml:space="preserve">Quarterly</t>
  </si>
  <si>
    <t xml:space="preserve">Validity</t>
  </si>
  <si>
    <t xml:space="preserve">2025-04-08</t>
  </si>
  <si>
    <t xml:space="preserve">Fail</t>
  </si>
  <si>
    <t xml:space="preserve">Design</t>
  </si>
  <si>
    <t xml:space="preserve">High</t>
  </si>
  <si>
    <t xml:space="preserve">A. Mehta</t>
  </si>
  <si>
    <t xml:space="preserve">2025-05-08</t>
  </si>
  <si>
    <t xml:space="preserve">Open</t>
  </si>
  <si>
    <t xml:space="preserve">C-104</t>
  </si>
  <si>
    <t xml:space="preserve">R-104</t>
  </si>
  <si>
    <t xml:space="preserve">Duplicate-invoice system check runs before payment release</t>
  </si>
  <si>
    <t xml:space="preserve">K. Malhotra</t>
  </si>
  <si>
    <t xml:space="preserve">2025-07-11</t>
  </si>
  <si>
    <t xml:space="preserve">Reviewer A</t>
  </si>
  <si>
    <t xml:space="preserve">C-105</t>
  </si>
  <si>
    <t xml:space="preserve">R-105</t>
  </si>
  <si>
    <t xml:space="preserve">Payments above threshold require dual authorisation</t>
  </si>
  <si>
    <t xml:space="preserve">2025-08-18</t>
  </si>
  <si>
    <t xml:space="preserve">C-106</t>
  </si>
  <si>
    <t xml:space="preserve">R-106</t>
  </si>
  <si>
    <t xml:space="preserve">Goods receipt recorded before invoice is booked</t>
  </si>
  <si>
    <t xml:space="preserve">Cut-off</t>
  </si>
  <si>
    <t xml:space="preserve">2025-04-30</t>
  </si>
  <si>
    <t xml:space="preserve">C-107</t>
  </si>
  <si>
    <t xml:space="preserve">R-107</t>
  </si>
  <si>
    <t xml:space="preserve">Aged open PO report reviewed monthly</t>
  </si>
  <si>
    <t xml:space="preserve">V. Singh</t>
  </si>
  <si>
    <t xml:space="preserve">Monthly</t>
  </si>
  <si>
    <t xml:space="preserve">Completeness</t>
  </si>
  <si>
    <t xml:space="preserve">2025-07-27</t>
  </si>
  <si>
    <t xml:space="preserve">C-108</t>
  </si>
  <si>
    <t xml:space="preserve">Order-to-Cash</t>
  </si>
  <si>
    <t xml:space="preserve">R-108</t>
  </si>
  <si>
    <t xml:space="preserve">Credit limits approved before a sales order is released</t>
  </si>
  <si>
    <t xml:space="preserve">N. Verma</t>
  </si>
  <si>
    <t xml:space="preserve">Valuation</t>
  </si>
  <si>
    <t xml:space="preserve">2025-06-22</t>
  </si>
  <si>
    <t xml:space="preserve">C-109</t>
  </si>
  <si>
    <t xml:space="preserve">R-109</t>
  </si>
  <si>
    <t xml:space="preserve">Revenue recognised only on confirmed delivery</t>
  </si>
  <si>
    <t xml:space="preserve">T. George</t>
  </si>
  <si>
    <t xml:space="preserve">2025-04-19</t>
  </si>
  <si>
    <t xml:space="preserve">C-110</t>
  </si>
  <si>
    <t xml:space="preserve">R-110</t>
  </si>
  <si>
    <t xml:space="preserve">Customer master data changes independently reviewed</t>
  </si>
  <si>
    <t xml:space="preserve">A. Rao</t>
  </si>
  <si>
    <t xml:space="preserve">2025-06-02</t>
  </si>
  <si>
    <t xml:space="preserve">C-111</t>
  </si>
  <si>
    <t xml:space="preserve">R-111</t>
  </si>
  <si>
    <t xml:space="preserve">Sales invoices matched to dispatch records</t>
  </si>
  <si>
    <t xml:space="preserve">2025-05-12</t>
  </si>
  <si>
    <t xml:space="preserve">C-112</t>
  </si>
  <si>
    <t xml:space="preserve">R-112</t>
  </si>
  <si>
    <t xml:space="preserve">Credit notes approved by an authorised manager</t>
  </si>
  <si>
    <t xml:space="preserve">Exception</t>
  </si>
  <si>
    <t xml:space="preserve">Operating</t>
  </si>
  <si>
    <t xml:space="preserve">Medium</t>
  </si>
  <si>
    <t xml:space="preserve">2025-06-07</t>
  </si>
  <si>
    <t xml:space="preserve">In Progress</t>
  </si>
  <si>
    <t xml:space="preserve">C-113</t>
  </si>
  <si>
    <t xml:space="preserve">R-113</t>
  </si>
  <si>
    <t xml:space="preserve">AR ageing reviewed and provisions assessed monthly</t>
  </si>
  <si>
    <t xml:space="preserve">2025-08-17</t>
  </si>
  <si>
    <t xml:space="preserve">C-114</t>
  </si>
  <si>
    <t xml:space="preserve">Payroll</t>
  </si>
  <si>
    <t xml:space="preserve">R-114</t>
  </si>
  <si>
    <t xml:space="preserve">New joiners and leavers reconciled to HR records monthly</t>
  </si>
  <si>
    <t xml:space="preserve">Weekly</t>
  </si>
  <si>
    <t xml:space="preserve">2025-06-27</t>
  </si>
  <si>
    <t xml:space="preserve">C-115</t>
  </si>
  <si>
    <t xml:space="preserve">R-115</t>
  </si>
  <si>
    <t xml:space="preserve">Payroll register reviewed and approved before disbursement</t>
  </si>
  <si>
    <t xml:space="preserve">2025-05-25</t>
  </si>
  <si>
    <t xml:space="preserve">2025-07-09</t>
  </si>
  <si>
    <t xml:space="preserve">C-116</t>
  </si>
  <si>
    <t xml:space="preserve">R-116</t>
  </si>
  <si>
    <t xml:space="preserve">Segregation between payroll preparation and approval enforced</t>
  </si>
  <si>
    <t xml:space="preserve">2025-04-25</t>
  </si>
  <si>
    <t xml:space="preserve">C-117</t>
  </si>
  <si>
    <t xml:space="preserve">R-117</t>
  </si>
  <si>
    <t xml:space="preserve">Changes to pay rates independently authorised</t>
  </si>
  <si>
    <t xml:space="preserve">2025-06-01</t>
  </si>
  <si>
    <t xml:space="preserve">C-118</t>
  </si>
  <si>
    <t xml:space="preserve">R-118</t>
  </si>
  <si>
    <t xml:space="preserve">Bank file totals reconciled to approved payroll register</t>
  </si>
  <si>
    <t xml:space="preserve">D. Menon</t>
  </si>
  <si>
    <t xml:space="preserve">2025-05-09</t>
  </si>
  <si>
    <t xml:space="preserve">C-119</t>
  </si>
  <si>
    <t xml:space="preserve">Financial Close</t>
  </si>
  <si>
    <t xml:space="preserve">R-119</t>
  </si>
  <si>
    <t xml:space="preserve">Journal entries above threshold require independent approval</t>
  </si>
  <si>
    <t xml:space="preserve">2025-04-20</t>
  </si>
  <si>
    <t xml:space="preserve">C-120</t>
  </si>
  <si>
    <t xml:space="preserve">R-120</t>
  </si>
  <si>
    <t xml:space="preserve">Balance-sheet reconciliations prepared and reviewed monthly</t>
  </si>
  <si>
    <t xml:space="preserve">Existence</t>
  </si>
  <si>
    <t xml:space="preserve">2025-08-29</t>
  </si>
  <si>
    <t xml:space="preserve">C-121</t>
  </si>
  <si>
    <t xml:space="preserve">R-121</t>
  </si>
  <si>
    <t xml:space="preserve">Manual journals reviewed for appropriateness at close</t>
  </si>
  <si>
    <t xml:space="preserve">2025-08-11</t>
  </si>
  <si>
    <t xml:space="preserve">C-122</t>
  </si>
  <si>
    <t xml:space="preserve">R-122</t>
  </si>
  <si>
    <t xml:space="preserve">Management review of financial statements before submission</t>
  </si>
  <si>
    <t xml:space="preserve">Presentation</t>
  </si>
  <si>
    <t xml:space="preserve">2025-04-18</t>
  </si>
  <si>
    <t xml:space="preserve">C-123</t>
  </si>
  <si>
    <t xml:space="preserve">R-123</t>
  </si>
  <si>
    <t xml:space="preserve">Intercompany balances reconciled and eliminated</t>
  </si>
  <si>
    <t xml:space="preserve">2025-07-16</t>
  </si>
  <si>
    <t xml:space="preserve">C-124</t>
  </si>
  <si>
    <t xml:space="preserve">R-124</t>
  </si>
  <si>
    <t xml:space="preserve">Accruals supported by documented calculations</t>
  </si>
  <si>
    <t xml:space="preserve">2025-05-10</t>
  </si>
  <si>
    <t xml:space="preserve">C-125</t>
  </si>
  <si>
    <t xml:space="preserve">ITGC</t>
  </si>
  <si>
    <t xml:space="preserve">R-125</t>
  </si>
  <si>
    <t xml:space="preserve">User access to the finance system reviewed quarterly</t>
  </si>
  <si>
    <t xml:space="preserve">Restricted Access</t>
  </si>
  <si>
    <t xml:space="preserve">2025-08-05</t>
  </si>
  <si>
    <t xml:space="preserve">C-126</t>
  </si>
  <si>
    <t xml:space="preserve">R-126</t>
  </si>
  <si>
    <t xml:space="preserve">Privileged/admin access to the ERP restricted and logged</t>
  </si>
  <si>
    <t xml:space="preserve">2025-08-28</t>
  </si>
  <si>
    <t xml:space="preserve">Low</t>
  </si>
  <si>
    <t xml:space="preserve">2025-09-27</t>
  </si>
  <si>
    <t xml:space="preserve">Closed</t>
  </si>
  <si>
    <t xml:space="preserve">C-127</t>
  </si>
  <si>
    <t xml:space="preserve">R-127</t>
  </si>
  <si>
    <t xml:space="preserve">Change-management approvals obtained before deployment</t>
  </si>
  <si>
    <t xml:space="preserve">Change Mgmt</t>
  </si>
  <si>
    <t xml:space="preserve">2025-08-21</t>
  </si>
  <si>
    <t xml:space="preserve">2025-11-19</t>
  </si>
  <si>
    <t xml:space="preserve">C-128</t>
  </si>
  <si>
    <t xml:space="preserve">R-128</t>
  </si>
  <si>
    <t xml:space="preserve">Automated interface reconciliations run daily with exception review</t>
  </si>
  <si>
    <t xml:space="preserve">2025-06-10</t>
  </si>
  <si>
    <t xml:space="preserve">C-129</t>
  </si>
  <si>
    <t xml:space="preserve">R-129</t>
  </si>
  <si>
    <t xml:space="preserve">Terminated users' access revoked within SLA</t>
  </si>
  <si>
    <t xml:space="preserve">2025-06-08</t>
  </si>
  <si>
    <t xml:space="preserve">C-130</t>
  </si>
  <si>
    <t xml:space="preserve">R-130</t>
  </si>
  <si>
    <t xml:space="preserve">Backup jobs monitored and failures investigated</t>
  </si>
  <si>
    <t xml:space="preserve">Availability</t>
  </si>
  <si>
    <t xml:space="preserve">2025-08-13</t>
  </si>
  <si>
    <t xml:space="preserve">P. Nair</t>
  </si>
  <si>
    <t xml:space="preserve">2025-11-11</t>
  </si>
  <si>
    <t xml:space="preserve">C-131</t>
  </si>
  <si>
    <t xml:space="preserve">Treasury</t>
  </si>
  <si>
    <t xml:space="preserve">R-131</t>
  </si>
  <si>
    <t xml:space="preserve">Bank reconciliations prepared and independently reviewed monthly</t>
  </si>
  <si>
    <t xml:space="preserve">2025-06-26</t>
  </si>
  <si>
    <t xml:space="preserve">C-132</t>
  </si>
  <si>
    <t xml:space="preserve">R-132</t>
  </si>
  <si>
    <t xml:space="preserve">Payment release requires dual authorisation</t>
  </si>
  <si>
    <t xml:space="preserve">C-133</t>
  </si>
  <si>
    <t xml:space="preserve">R-133</t>
  </si>
  <si>
    <t xml:space="preserve">FX exposure monitored against approved policy limits</t>
  </si>
  <si>
    <t xml:space="preserve">2025-08-04</t>
  </si>
  <si>
    <t xml:space="preserve">C-134</t>
  </si>
  <si>
    <t xml:space="preserve">R-134</t>
  </si>
  <si>
    <t xml:space="preserve">New bank accounts opened only with board approval</t>
  </si>
  <si>
    <t xml:space="preserve">2025-06-05</t>
  </si>
  <si>
    <t xml:space="preserve">C-135</t>
  </si>
  <si>
    <t xml:space="preserve">R-135</t>
  </si>
  <si>
    <t xml:space="preserve">Daily cash position reviewed against forecast</t>
  </si>
  <si>
    <t xml:space="preserve">2025-07-21</t>
  </si>
  <si>
    <t xml:space="preserve">Control Testing Summary (auto)</t>
  </si>
  <si>
    <t xml:space="preserve">Test Result</t>
  </si>
  <si>
    <t xml:space="preserve">Count</t>
  </si>
  <si>
    <t xml:space="preserve">Controls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</si>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</sst>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CCFFFF"/>
      </patternFill>
    </fill>
    <fill>
      <patternFill patternType="solid">
        <fgColor rgb="FF2E5090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34"/>
    <col collapsed="false" customWidth="true" hidden="false" outlineLevel="0" max="10" min="6" style="0" width="14"/>
    <col collapsed="false" customWidth="true" hidden="false" outlineLevel="0" max="11" min="11" style="0" width="22"/>
    <col collapsed="false" customWidth="true" hidden="false" outlineLevel="0" max="22" min="1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23.85" hidden="false" customHeight="false" outlineLevel="0" collapsed="false">
      <c r="A5" s="4" t="s">
        <v>24</v>
      </c>
      <c r="B5" s="4" t="s">
        <v>25</v>
      </c>
      <c r="C5" s="4" t="s">
        <v>26</v>
      </c>
      <c r="D5" s="5" t="s">
        <v>27</v>
      </c>
      <c r="E5" s="5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5" t="s">
        <v>33</v>
      </c>
      <c r="L5" s="4" t="n">
        <v>120</v>
      </c>
      <c r="M5" s="4" t="n">
        <v>25</v>
      </c>
      <c r="N5" s="4" t="n">
        <v>0</v>
      </c>
      <c r="O5" s="4" t="s">
        <v>34</v>
      </c>
      <c r="P5" s="4" t="s">
        <v>35</v>
      </c>
      <c r="Q5" s="6" t="s">
        <v>36</v>
      </c>
      <c r="R5" s="4"/>
      <c r="S5" s="4"/>
      <c r="T5" s="4"/>
      <c r="U5" s="4"/>
      <c r="V5" s="4"/>
    </row>
    <row r="6" customFormat="false" ht="23.85" hidden="false" customHeight="false" outlineLevel="0" collapsed="false">
      <c r="A6" s="4" t="s">
        <v>37</v>
      </c>
      <c r="B6" s="4" t="s">
        <v>25</v>
      </c>
      <c r="C6" s="4" t="s">
        <v>38</v>
      </c>
      <c r="D6" s="5" t="s">
        <v>39</v>
      </c>
      <c r="E6" s="5" t="s">
        <v>39</v>
      </c>
      <c r="F6" s="4" t="s">
        <v>40</v>
      </c>
      <c r="G6" s="4" t="s">
        <v>29</v>
      </c>
      <c r="H6" s="4" t="s">
        <v>41</v>
      </c>
      <c r="I6" s="4" t="s">
        <v>42</v>
      </c>
      <c r="J6" s="4" t="s">
        <v>43</v>
      </c>
      <c r="K6" s="5" t="s">
        <v>33</v>
      </c>
      <c r="L6" s="4" t="n">
        <v>360</v>
      </c>
      <c r="M6" s="4" t="n">
        <v>25</v>
      </c>
      <c r="N6" s="4" t="n">
        <v>0</v>
      </c>
      <c r="O6" s="4" t="s">
        <v>44</v>
      </c>
      <c r="P6" s="4" t="s">
        <v>45</v>
      </c>
      <c r="Q6" s="6" t="s">
        <v>36</v>
      </c>
      <c r="R6" s="4"/>
      <c r="S6" s="4"/>
      <c r="T6" s="4"/>
      <c r="U6" s="4"/>
      <c r="V6" s="4"/>
    </row>
    <row r="7" customFormat="false" ht="23.85" hidden="false" customHeight="false" outlineLevel="0" collapsed="false">
      <c r="A7" s="4" t="s">
        <v>46</v>
      </c>
      <c r="B7" s="4" t="s">
        <v>25</v>
      </c>
      <c r="C7" s="4" t="s">
        <v>47</v>
      </c>
      <c r="D7" s="5" t="s">
        <v>48</v>
      </c>
      <c r="E7" s="5" t="s">
        <v>48</v>
      </c>
      <c r="F7" s="4" t="s">
        <v>40</v>
      </c>
      <c r="G7" s="4" t="s">
        <v>49</v>
      </c>
      <c r="H7" s="4" t="s">
        <v>30</v>
      </c>
      <c r="I7" s="4" t="s">
        <v>50</v>
      </c>
      <c r="J7" s="4" t="s">
        <v>51</v>
      </c>
      <c r="K7" s="5" t="s">
        <v>33</v>
      </c>
      <c r="L7" s="4" t="n">
        <v>500</v>
      </c>
      <c r="M7" s="4" t="n">
        <v>2</v>
      </c>
      <c r="N7" s="4" t="n">
        <v>1</v>
      </c>
      <c r="O7" s="4" t="s">
        <v>52</v>
      </c>
      <c r="P7" s="4" t="s">
        <v>45</v>
      </c>
      <c r="Q7" s="7" t="s">
        <v>53</v>
      </c>
      <c r="R7" s="4" t="s">
        <v>54</v>
      </c>
      <c r="S7" s="7" t="s">
        <v>55</v>
      </c>
      <c r="T7" s="4" t="s">
        <v>56</v>
      </c>
      <c r="U7" s="4" t="s">
        <v>57</v>
      </c>
      <c r="V7" s="4" t="s">
        <v>58</v>
      </c>
    </row>
    <row r="8" customFormat="false" ht="23.85" hidden="false" customHeight="false" outlineLevel="0" collapsed="false">
      <c r="A8" s="4" t="s">
        <v>59</v>
      </c>
      <c r="B8" s="4" t="s">
        <v>25</v>
      </c>
      <c r="C8" s="4" t="s">
        <v>60</v>
      </c>
      <c r="D8" s="5" t="s">
        <v>61</v>
      </c>
      <c r="E8" s="5" t="s">
        <v>61</v>
      </c>
      <c r="F8" s="4" t="s">
        <v>62</v>
      </c>
      <c r="G8" s="4" t="s">
        <v>29</v>
      </c>
      <c r="H8" s="4" t="s">
        <v>41</v>
      </c>
      <c r="I8" s="4" t="s">
        <v>42</v>
      </c>
      <c r="J8" s="4" t="s">
        <v>32</v>
      </c>
      <c r="K8" s="5" t="s">
        <v>33</v>
      </c>
      <c r="L8" s="4" t="n">
        <v>240</v>
      </c>
      <c r="M8" s="4" t="n">
        <v>25</v>
      </c>
      <c r="N8" s="4" t="n">
        <v>0</v>
      </c>
      <c r="O8" s="4" t="s">
        <v>63</v>
      </c>
      <c r="P8" s="4" t="s">
        <v>64</v>
      </c>
      <c r="Q8" s="6" t="s">
        <v>36</v>
      </c>
      <c r="R8" s="4"/>
      <c r="S8" s="4"/>
      <c r="T8" s="4"/>
      <c r="U8" s="4"/>
      <c r="V8" s="4"/>
    </row>
    <row r="9" customFormat="false" ht="23.85" hidden="false" customHeight="false" outlineLevel="0" collapsed="false">
      <c r="A9" s="4" t="s">
        <v>65</v>
      </c>
      <c r="B9" s="4" t="s">
        <v>25</v>
      </c>
      <c r="C9" s="4" t="s">
        <v>66</v>
      </c>
      <c r="D9" s="5" t="s">
        <v>67</v>
      </c>
      <c r="E9" s="5" t="s">
        <v>67</v>
      </c>
      <c r="F9" s="4" t="s">
        <v>40</v>
      </c>
      <c r="G9" s="4" t="s">
        <v>29</v>
      </c>
      <c r="H9" s="4" t="s">
        <v>30</v>
      </c>
      <c r="I9" s="4" t="s">
        <v>31</v>
      </c>
      <c r="J9" s="4" t="s">
        <v>32</v>
      </c>
      <c r="K9" s="5" t="s">
        <v>33</v>
      </c>
      <c r="L9" s="4" t="n">
        <v>120</v>
      </c>
      <c r="M9" s="4" t="n">
        <v>25</v>
      </c>
      <c r="N9" s="4" t="n">
        <v>0</v>
      </c>
      <c r="O9" s="4" t="s">
        <v>68</v>
      </c>
      <c r="P9" s="4" t="s">
        <v>45</v>
      </c>
      <c r="Q9" s="6" t="s">
        <v>36</v>
      </c>
      <c r="R9" s="4"/>
      <c r="S9" s="4"/>
      <c r="T9" s="4"/>
      <c r="U9" s="4"/>
      <c r="V9" s="4"/>
    </row>
    <row r="10" customFormat="false" ht="23.85" hidden="false" customHeight="false" outlineLevel="0" collapsed="false">
      <c r="A10" s="4" t="s">
        <v>69</v>
      </c>
      <c r="B10" s="4" t="s">
        <v>25</v>
      </c>
      <c r="C10" s="4" t="s">
        <v>70</v>
      </c>
      <c r="D10" s="5" t="s">
        <v>71</v>
      </c>
      <c r="E10" s="5" t="s">
        <v>71</v>
      </c>
      <c r="F10" s="4" t="s">
        <v>28</v>
      </c>
      <c r="G10" s="4" t="s">
        <v>29</v>
      </c>
      <c r="H10" s="4" t="s">
        <v>30</v>
      </c>
      <c r="I10" s="4" t="s">
        <v>42</v>
      </c>
      <c r="J10" s="4" t="s">
        <v>72</v>
      </c>
      <c r="K10" s="5" t="s">
        <v>33</v>
      </c>
      <c r="L10" s="4" t="n">
        <v>240</v>
      </c>
      <c r="M10" s="4" t="n">
        <v>25</v>
      </c>
      <c r="N10" s="4" t="n">
        <v>0</v>
      </c>
      <c r="O10" s="4" t="s">
        <v>73</v>
      </c>
      <c r="P10" s="4" t="s">
        <v>35</v>
      </c>
      <c r="Q10" s="6" t="s">
        <v>36</v>
      </c>
      <c r="R10" s="4"/>
      <c r="S10" s="4"/>
      <c r="T10" s="4"/>
      <c r="U10" s="4"/>
      <c r="V10" s="4"/>
    </row>
    <row r="11" customFormat="false" ht="23.85" hidden="false" customHeight="false" outlineLevel="0" collapsed="false">
      <c r="A11" s="4" t="s">
        <v>74</v>
      </c>
      <c r="B11" s="4" t="s">
        <v>25</v>
      </c>
      <c r="C11" s="4" t="s">
        <v>75</v>
      </c>
      <c r="D11" s="5" t="s">
        <v>76</v>
      </c>
      <c r="E11" s="5" t="s">
        <v>76</v>
      </c>
      <c r="F11" s="4" t="s">
        <v>77</v>
      </c>
      <c r="G11" s="4" t="s">
        <v>49</v>
      </c>
      <c r="H11" s="4" t="s">
        <v>30</v>
      </c>
      <c r="I11" s="4" t="s">
        <v>78</v>
      </c>
      <c r="J11" s="4" t="s">
        <v>79</v>
      </c>
      <c r="K11" s="5" t="s">
        <v>33</v>
      </c>
      <c r="L11" s="4" t="n">
        <v>120</v>
      </c>
      <c r="M11" s="4" t="n">
        <v>3</v>
      </c>
      <c r="N11" s="4" t="n">
        <v>0</v>
      </c>
      <c r="O11" s="4" t="s">
        <v>80</v>
      </c>
      <c r="P11" s="4" t="s">
        <v>64</v>
      </c>
      <c r="Q11" s="6" t="s">
        <v>36</v>
      </c>
      <c r="R11" s="4"/>
      <c r="S11" s="4"/>
      <c r="T11" s="4"/>
      <c r="U11" s="4"/>
      <c r="V11" s="4"/>
    </row>
    <row r="12" customFormat="false" ht="23.85" hidden="false" customHeight="false" outlineLevel="0" collapsed="false">
      <c r="A12" s="4" t="s">
        <v>81</v>
      </c>
      <c r="B12" s="4" t="s">
        <v>82</v>
      </c>
      <c r="C12" s="4" t="s">
        <v>83</v>
      </c>
      <c r="D12" s="5" t="s">
        <v>84</v>
      </c>
      <c r="E12" s="5" t="s">
        <v>84</v>
      </c>
      <c r="F12" s="4" t="s">
        <v>85</v>
      </c>
      <c r="G12" s="4" t="s">
        <v>29</v>
      </c>
      <c r="H12" s="4" t="s">
        <v>41</v>
      </c>
      <c r="I12" s="4" t="s">
        <v>31</v>
      </c>
      <c r="J12" s="4" t="s">
        <v>86</v>
      </c>
      <c r="K12" s="5" t="s">
        <v>33</v>
      </c>
      <c r="L12" s="4" t="n">
        <v>240</v>
      </c>
      <c r="M12" s="4" t="n">
        <v>25</v>
      </c>
      <c r="N12" s="4" t="n">
        <v>0</v>
      </c>
      <c r="O12" s="4" t="s">
        <v>87</v>
      </c>
      <c r="P12" s="4" t="s">
        <v>64</v>
      </c>
      <c r="Q12" s="6" t="s">
        <v>36</v>
      </c>
      <c r="R12" s="4"/>
      <c r="S12" s="4"/>
      <c r="T12" s="4"/>
      <c r="U12" s="4"/>
      <c r="V12" s="4"/>
    </row>
    <row r="13" customFormat="false" ht="23.85" hidden="false" customHeight="false" outlineLevel="0" collapsed="false">
      <c r="A13" s="4" t="s">
        <v>88</v>
      </c>
      <c r="B13" s="4" t="s">
        <v>82</v>
      </c>
      <c r="C13" s="4" t="s">
        <v>89</v>
      </c>
      <c r="D13" s="5" t="s">
        <v>90</v>
      </c>
      <c r="E13" s="5" t="s">
        <v>90</v>
      </c>
      <c r="F13" s="4" t="s">
        <v>91</v>
      </c>
      <c r="G13" s="4" t="s">
        <v>29</v>
      </c>
      <c r="H13" s="4" t="s">
        <v>30</v>
      </c>
      <c r="I13" s="4" t="s">
        <v>31</v>
      </c>
      <c r="J13" s="4" t="s">
        <v>72</v>
      </c>
      <c r="K13" s="5" t="s">
        <v>33</v>
      </c>
      <c r="L13" s="4" t="n">
        <v>500</v>
      </c>
      <c r="M13" s="4" t="n">
        <v>25</v>
      </c>
      <c r="N13" s="4" t="n">
        <v>0</v>
      </c>
      <c r="O13" s="4" t="s">
        <v>92</v>
      </c>
      <c r="P13" s="4" t="s">
        <v>64</v>
      </c>
      <c r="Q13" s="6" t="s">
        <v>36</v>
      </c>
      <c r="R13" s="4"/>
      <c r="S13" s="4"/>
      <c r="T13" s="4"/>
      <c r="U13" s="4"/>
      <c r="V13" s="4"/>
    </row>
    <row r="14" customFormat="false" ht="23.85" hidden="false" customHeight="false" outlineLevel="0" collapsed="false">
      <c r="A14" s="4" t="s">
        <v>93</v>
      </c>
      <c r="B14" s="4" t="s">
        <v>82</v>
      </c>
      <c r="C14" s="4" t="s">
        <v>94</v>
      </c>
      <c r="D14" s="5" t="s">
        <v>95</v>
      </c>
      <c r="E14" s="5" t="s">
        <v>95</v>
      </c>
      <c r="F14" s="4" t="s">
        <v>96</v>
      </c>
      <c r="G14" s="4" t="s">
        <v>49</v>
      </c>
      <c r="H14" s="4" t="s">
        <v>30</v>
      </c>
      <c r="I14" s="4" t="s">
        <v>31</v>
      </c>
      <c r="J14" s="4" t="s">
        <v>51</v>
      </c>
      <c r="K14" s="5" t="s">
        <v>33</v>
      </c>
      <c r="L14" s="4" t="n">
        <v>120</v>
      </c>
      <c r="M14" s="4" t="n">
        <v>25</v>
      </c>
      <c r="N14" s="4" t="n">
        <v>0</v>
      </c>
      <c r="O14" s="4" t="s">
        <v>97</v>
      </c>
      <c r="P14" s="4" t="s">
        <v>45</v>
      </c>
      <c r="Q14" s="6" t="s">
        <v>36</v>
      </c>
      <c r="R14" s="4"/>
      <c r="S14" s="4"/>
      <c r="T14" s="4"/>
      <c r="U14" s="4"/>
      <c r="V14" s="4"/>
    </row>
    <row r="15" customFormat="false" ht="23.85" hidden="false" customHeight="false" outlineLevel="0" collapsed="false">
      <c r="A15" s="4" t="s">
        <v>98</v>
      </c>
      <c r="B15" s="4" t="s">
        <v>82</v>
      </c>
      <c r="C15" s="4" t="s">
        <v>99</v>
      </c>
      <c r="D15" s="5" t="s">
        <v>100</v>
      </c>
      <c r="E15" s="5" t="s">
        <v>100</v>
      </c>
      <c r="F15" s="4" t="s">
        <v>77</v>
      </c>
      <c r="G15" s="4" t="s">
        <v>29</v>
      </c>
      <c r="H15" s="4" t="s">
        <v>41</v>
      </c>
      <c r="I15" s="4" t="s">
        <v>31</v>
      </c>
      <c r="J15" s="4" t="s">
        <v>43</v>
      </c>
      <c r="K15" s="5" t="s">
        <v>33</v>
      </c>
      <c r="L15" s="4" t="n">
        <v>1000</v>
      </c>
      <c r="M15" s="4" t="n">
        <v>25</v>
      </c>
      <c r="N15" s="4" t="n">
        <v>0</v>
      </c>
      <c r="O15" s="4" t="s">
        <v>101</v>
      </c>
      <c r="P15" s="4" t="s">
        <v>64</v>
      </c>
      <c r="Q15" s="6" t="s">
        <v>36</v>
      </c>
      <c r="R15" s="4"/>
      <c r="S15" s="4"/>
      <c r="T15" s="4"/>
      <c r="U15" s="4"/>
      <c r="V15" s="4"/>
    </row>
    <row r="16" customFormat="false" ht="23.85" hidden="false" customHeight="false" outlineLevel="0" collapsed="false">
      <c r="A16" s="4" t="s">
        <v>102</v>
      </c>
      <c r="B16" s="4" t="s">
        <v>82</v>
      </c>
      <c r="C16" s="4" t="s">
        <v>103</v>
      </c>
      <c r="D16" s="5" t="s">
        <v>104</v>
      </c>
      <c r="E16" s="5" t="s">
        <v>104</v>
      </c>
      <c r="F16" s="4" t="s">
        <v>96</v>
      </c>
      <c r="G16" s="4" t="s">
        <v>29</v>
      </c>
      <c r="H16" s="4" t="s">
        <v>30</v>
      </c>
      <c r="I16" s="4" t="s">
        <v>78</v>
      </c>
      <c r="J16" s="4" t="s">
        <v>32</v>
      </c>
      <c r="K16" s="5" t="s">
        <v>33</v>
      </c>
      <c r="L16" s="4" t="n">
        <v>360</v>
      </c>
      <c r="M16" s="4" t="n">
        <v>3</v>
      </c>
      <c r="N16" s="4" t="n">
        <v>1</v>
      </c>
      <c r="O16" s="4" t="s">
        <v>57</v>
      </c>
      <c r="P16" s="4" t="s">
        <v>35</v>
      </c>
      <c r="Q16" s="8" t="s">
        <v>105</v>
      </c>
      <c r="R16" s="4" t="s">
        <v>106</v>
      </c>
      <c r="S16" s="8" t="s">
        <v>107</v>
      </c>
      <c r="T16" s="4" t="s">
        <v>91</v>
      </c>
      <c r="U16" s="4" t="s">
        <v>108</v>
      </c>
      <c r="V16" s="4" t="s">
        <v>109</v>
      </c>
    </row>
    <row r="17" customFormat="false" ht="23.85" hidden="false" customHeight="false" outlineLevel="0" collapsed="false">
      <c r="A17" s="4" t="s">
        <v>110</v>
      </c>
      <c r="B17" s="4" t="s">
        <v>82</v>
      </c>
      <c r="C17" s="4" t="s">
        <v>111</v>
      </c>
      <c r="D17" s="5" t="s">
        <v>112</v>
      </c>
      <c r="E17" s="5" t="s">
        <v>112</v>
      </c>
      <c r="F17" s="4" t="s">
        <v>85</v>
      </c>
      <c r="G17" s="4" t="s">
        <v>49</v>
      </c>
      <c r="H17" s="4" t="s">
        <v>30</v>
      </c>
      <c r="I17" s="4" t="s">
        <v>31</v>
      </c>
      <c r="J17" s="4" t="s">
        <v>86</v>
      </c>
      <c r="K17" s="5" t="s">
        <v>33</v>
      </c>
      <c r="L17" s="4" t="n">
        <v>1000</v>
      </c>
      <c r="M17" s="4" t="n">
        <v>25</v>
      </c>
      <c r="N17" s="4" t="n">
        <v>0</v>
      </c>
      <c r="O17" s="4" t="s">
        <v>113</v>
      </c>
      <c r="P17" s="4" t="s">
        <v>35</v>
      </c>
      <c r="Q17" s="6" t="s">
        <v>36</v>
      </c>
      <c r="R17" s="4"/>
      <c r="S17" s="4"/>
      <c r="T17" s="4"/>
      <c r="U17" s="4"/>
      <c r="V17" s="4"/>
    </row>
    <row r="18" customFormat="false" ht="23.85" hidden="false" customHeight="false" outlineLevel="0" collapsed="false">
      <c r="A18" s="4" t="s">
        <v>114</v>
      </c>
      <c r="B18" s="4" t="s">
        <v>115</v>
      </c>
      <c r="C18" s="4" t="s">
        <v>116</v>
      </c>
      <c r="D18" s="5" t="s">
        <v>117</v>
      </c>
      <c r="E18" s="5" t="s">
        <v>117</v>
      </c>
      <c r="F18" s="4" t="s">
        <v>85</v>
      </c>
      <c r="G18" s="4" t="s">
        <v>49</v>
      </c>
      <c r="H18" s="4" t="s">
        <v>30</v>
      </c>
      <c r="I18" s="4" t="s">
        <v>118</v>
      </c>
      <c r="J18" s="4" t="s">
        <v>79</v>
      </c>
      <c r="K18" s="5" t="s">
        <v>33</v>
      </c>
      <c r="L18" s="4" t="n">
        <v>1000</v>
      </c>
      <c r="M18" s="4" t="n">
        <v>12</v>
      </c>
      <c r="N18" s="4" t="n">
        <v>0</v>
      </c>
      <c r="O18" s="4" t="s">
        <v>119</v>
      </c>
      <c r="P18" s="4" t="s">
        <v>45</v>
      </c>
      <c r="Q18" s="6" t="s">
        <v>36</v>
      </c>
      <c r="R18" s="4"/>
      <c r="S18" s="4"/>
      <c r="T18" s="4"/>
      <c r="U18" s="4"/>
      <c r="V18" s="4"/>
    </row>
    <row r="19" customFormat="false" ht="23.85" hidden="false" customHeight="false" outlineLevel="0" collapsed="false">
      <c r="A19" s="4" t="s">
        <v>120</v>
      </c>
      <c r="B19" s="4" t="s">
        <v>115</v>
      </c>
      <c r="C19" s="4" t="s">
        <v>121</v>
      </c>
      <c r="D19" s="5" t="s">
        <v>122</v>
      </c>
      <c r="E19" s="5" t="s">
        <v>122</v>
      </c>
      <c r="F19" s="4" t="s">
        <v>62</v>
      </c>
      <c r="G19" s="4" t="s">
        <v>49</v>
      </c>
      <c r="H19" s="4" t="s">
        <v>30</v>
      </c>
      <c r="I19" s="4" t="s">
        <v>78</v>
      </c>
      <c r="J19" s="4" t="s">
        <v>43</v>
      </c>
      <c r="K19" s="5" t="s">
        <v>33</v>
      </c>
      <c r="L19" s="4" t="n">
        <v>1000</v>
      </c>
      <c r="M19" s="4" t="n">
        <v>3</v>
      </c>
      <c r="N19" s="4" t="n">
        <v>5</v>
      </c>
      <c r="O19" s="4" t="s">
        <v>123</v>
      </c>
      <c r="P19" s="4" t="s">
        <v>35</v>
      </c>
      <c r="Q19" s="7" t="s">
        <v>53</v>
      </c>
      <c r="R19" s="4" t="s">
        <v>106</v>
      </c>
      <c r="S19" s="8" t="s">
        <v>107</v>
      </c>
      <c r="T19" s="4" t="s">
        <v>40</v>
      </c>
      <c r="U19" s="4" t="s">
        <v>124</v>
      </c>
      <c r="V19" s="4" t="s">
        <v>58</v>
      </c>
    </row>
    <row r="20" customFormat="false" ht="23.85" hidden="false" customHeight="false" outlineLevel="0" collapsed="false">
      <c r="A20" s="4" t="s">
        <v>125</v>
      </c>
      <c r="B20" s="4" t="s">
        <v>115</v>
      </c>
      <c r="C20" s="4" t="s">
        <v>126</v>
      </c>
      <c r="D20" s="5" t="s">
        <v>127</v>
      </c>
      <c r="E20" s="5" t="s">
        <v>127</v>
      </c>
      <c r="F20" s="4" t="s">
        <v>91</v>
      </c>
      <c r="G20" s="4" t="s">
        <v>29</v>
      </c>
      <c r="H20" s="4" t="s">
        <v>30</v>
      </c>
      <c r="I20" s="4" t="s">
        <v>118</v>
      </c>
      <c r="J20" s="4" t="s">
        <v>32</v>
      </c>
      <c r="K20" s="5" t="s">
        <v>33</v>
      </c>
      <c r="L20" s="4" t="n">
        <v>360</v>
      </c>
      <c r="M20" s="4" t="n">
        <v>12</v>
      </c>
      <c r="N20" s="4" t="n">
        <v>0</v>
      </c>
      <c r="O20" s="4" t="s">
        <v>128</v>
      </c>
      <c r="P20" s="4" t="s">
        <v>64</v>
      </c>
      <c r="Q20" s="6" t="s">
        <v>36</v>
      </c>
      <c r="R20" s="4"/>
      <c r="S20" s="4"/>
      <c r="T20" s="4"/>
      <c r="U20" s="4"/>
      <c r="V20" s="4"/>
    </row>
    <row r="21" customFormat="false" ht="23.85" hidden="false" customHeight="false" outlineLevel="0" collapsed="false">
      <c r="A21" s="4" t="s">
        <v>129</v>
      </c>
      <c r="B21" s="4" t="s">
        <v>115</v>
      </c>
      <c r="C21" s="4" t="s">
        <v>130</v>
      </c>
      <c r="D21" s="5" t="s">
        <v>131</v>
      </c>
      <c r="E21" s="5" t="s">
        <v>131</v>
      </c>
      <c r="F21" s="4" t="s">
        <v>96</v>
      </c>
      <c r="G21" s="4" t="s">
        <v>29</v>
      </c>
      <c r="H21" s="4" t="s">
        <v>30</v>
      </c>
      <c r="I21" s="4" t="s">
        <v>118</v>
      </c>
      <c r="J21" s="4" t="s">
        <v>51</v>
      </c>
      <c r="K21" s="5" t="s">
        <v>33</v>
      </c>
      <c r="L21" s="4" t="n">
        <v>240</v>
      </c>
      <c r="M21" s="4" t="n">
        <v>12</v>
      </c>
      <c r="N21" s="4" t="n">
        <v>0</v>
      </c>
      <c r="O21" s="4" t="s">
        <v>132</v>
      </c>
      <c r="P21" s="4" t="s">
        <v>64</v>
      </c>
      <c r="Q21" s="6" t="s">
        <v>36</v>
      </c>
      <c r="R21" s="4"/>
      <c r="S21" s="4"/>
      <c r="T21" s="4"/>
      <c r="U21" s="4"/>
      <c r="V21" s="4"/>
    </row>
    <row r="22" customFormat="false" ht="23.85" hidden="false" customHeight="false" outlineLevel="0" collapsed="false">
      <c r="A22" s="4" t="s">
        <v>133</v>
      </c>
      <c r="B22" s="4" t="s">
        <v>115</v>
      </c>
      <c r="C22" s="4" t="s">
        <v>134</v>
      </c>
      <c r="D22" s="5" t="s">
        <v>135</v>
      </c>
      <c r="E22" s="5" t="s">
        <v>135</v>
      </c>
      <c r="F22" s="4" t="s">
        <v>136</v>
      </c>
      <c r="G22" s="4" t="s">
        <v>49</v>
      </c>
      <c r="H22" s="4" t="s">
        <v>41</v>
      </c>
      <c r="I22" s="4" t="s">
        <v>118</v>
      </c>
      <c r="J22" s="4" t="s">
        <v>43</v>
      </c>
      <c r="K22" s="5" t="s">
        <v>33</v>
      </c>
      <c r="L22" s="4" t="n">
        <v>360</v>
      </c>
      <c r="M22" s="4" t="n">
        <v>12</v>
      </c>
      <c r="N22" s="4" t="n">
        <v>0</v>
      </c>
      <c r="O22" s="4" t="s">
        <v>137</v>
      </c>
      <c r="P22" s="4" t="s">
        <v>45</v>
      </c>
      <c r="Q22" s="6" t="s">
        <v>36</v>
      </c>
      <c r="R22" s="4"/>
      <c r="S22" s="4"/>
      <c r="T22" s="4"/>
      <c r="U22" s="4"/>
      <c r="V22" s="4"/>
    </row>
    <row r="23" customFormat="false" ht="23.85" hidden="false" customHeight="false" outlineLevel="0" collapsed="false">
      <c r="A23" s="4" t="s">
        <v>138</v>
      </c>
      <c r="B23" s="4" t="s">
        <v>139</v>
      </c>
      <c r="C23" s="4" t="s">
        <v>140</v>
      </c>
      <c r="D23" s="5" t="s">
        <v>141</v>
      </c>
      <c r="E23" s="5" t="s">
        <v>141</v>
      </c>
      <c r="F23" s="4" t="s">
        <v>85</v>
      </c>
      <c r="G23" s="4" t="s">
        <v>29</v>
      </c>
      <c r="H23" s="4" t="s">
        <v>30</v>
      </c>
      <c r="I23" s="4" t="s">
        <v>31</v>
      </c>
      <c r="J23" s="4" t="s">
        <v>43</v>
      </c>
      <c r="K23" s="5" t="s">
        <v>33</v>
      </c>
      <c r="L23" s="4" t="n">
        <v>500</v>
      </c>
      <c r="M23" s="4" t="n">
        <v>25</v>
      </c>
      <c r="N23" s="4" t="n">
        <v>0</v>
      </c>
      <c r="O23" s="4" t="s">
        <v>142</v>
      </c>
      <c r="P23" s="4" t="s">
        <v>45</v>
      </c>
      <c r="Q23" s="6" t="s">
        <v>36</v>
      </c>
      <c r="R23" s="4"/>
      <c r="S23" s="4"/>
      <c r="T23" s="4"/>
      <c r="U23" s="4"/>
      <c r="V23" s="4"/>
    </row>
    <row r="24" customFormat="false" ht="23.85" hidden="false" customHeight="false" outlineLevel="0" collapsed="false">
      <c r="A24" s="4" t="s">
        <v>143</v>
      </c>
      <c r="B24" s="4" t="s">
        <v>139</v>
      </c>
      <c r="C24" s="4" t="s">
        <v>144</v>
      </c>
      <c r="D24" s="5" t="s">
        <v>145</v>
      </c>
      <c r="E24" s="5" t="s">
        <v>145</v>
      </c>
      <c r="F24" s="4" t="s">
        <v>85</v>
      </c>
      <c r="G24" s="4" t="s">
        <v>49</v>
      </c>
      <c r="H24" s="4" t="s">
        <v>30</v>
      </c>
      <c r="I24" s="4" t="s">
        <v>118</v>
      </c>
      <c r="J24" s="4" t="s">
        <v>146</v>
      </c>
      <c r="K24" s="5" t="s">
        <v>33</v>
      </c>
      <c r="L24" s="4" t="n">
        <v>500</v>
      </c>
      <c r="M24" s="4" t="n">
        <v>12</v>
      </c>
      <c r="N24" s="4" t="n">
        <v>0</v>
      </c>
      <c r="O24" s="4" t="s">
        <v>147</v>
      </c>
      <c r="P24" s="4" t="s">
        <v>45</v>
      </c>
      <c r="Q24" s="6" t="s">
        <v>36</v>
      </c>
      <c r="R24" s="4"/>
      <c r="S24" s="4"/>
      <c r="T24" s="4"/>
      <c r="U24" s="4"/>
      <c r="V24" s="4"/>
    </row>
    <row r="25" customFormat="false" ht="23.85" hidden="false" customHeight="false" outlineLevel="0" collapsed="false">
      <c r="A25" s="4" t="s">
        <v>148</v>
      </c>
      <c r="B25" s="4" t="s">
        <v>139</v>
      </c>
      <c r="C25" s="4" t="s">
        <v>149</v>
      </c>
      <c r="D25" s="5" t="s">
        <v>150</v>
      </c>
      <c r="E25" s="5" t="s">
        <v>150</v>
      </c>
      <c r="F25" s="4" t="s">
        <v>96</v>
      </c>
      <c r="G25" s="4" t="s">
        <v>49</v>
      </c>
      <c r="H25" s="4" t="s">
        <v>30</v>
      </c>
      <c r="I25" s="4" t="s">
        <v>42</v>
      </c>
      <c r="J25" s="4" t="s">
        <v>32</v>
      </c>
      <c r="K25" s="5" t="s">
        <v>33</v>
      </c>
      <c r="L25" s="4" t="n">
        <v>360</v>
      </c>
      <c r="M25" s="4" t="n">
        <v>25</v>
      </c>
      <c r="N25" s="4" t="n">
        <v>0</v>
      </c>
      <c r="O25" s="4" t="s">
        <v>151</v>
      </c>
      <c r="P25" s="4" t="s">
        <v>64</v>
      </c>
      <c r="Q25" s="6" t="s">
        <v>36</v>
      </c>
      <c r="R25" s="4"/>
      <c r="S25" s="4"/>
      <c r="T25" s="4"/>
      <c r="U25" s="4"/>
      <c r="V25" s="4"/>
    </row>
    <row r="26" customFormat="false" ht="23.85" hidden="false" customHeight="false" outlineLevel="0" collapsed="false">
      <c r="A26" s="4" t="s">
        <v>152</v>
      </c>
      <c r="B26" s="4" t="s">
        <v>139</v>
      </c>
      <c r="C26" s="4" t="s">
        <v>153</v>
      </c>
      <c r="D26" s="5" t="s">
        <v>154</v>
      </c>
      <c r="E26" s="5" t="s">
        <v>154</v>
      </c>
      <c r="F26" s="4" t="s">
        <v>28</v>
      </c>
      <c r="G26" s="4" t="s">
        <v>49</v>
      </c>
      <c r="H26" s="4" t="s">
        <v>30</v>
      </c>
      <c r="I26" s="4" t="s">
        <v>31</v>
      </c>
      <c r="J26" s="4" t="s">
        <v>155</v>
      </c>
      <c r="K26" s="5" t="s">
        <v>33</v>
      </c>
      <c r="L26" s="4" t="n">
        <v>500</v>
      </c>
      <c r="M26" s="4" t="n">
        <v>25</v>
      </c>
      <c r="N26" s="4" t="n">
        <v>0</v>
      </c>
      <c r="O26" s="4" t="s">
        <v>156</v>
      </c>
      <c r="P26" s="4" t="s">
        <v>64</v>
      </c>
      <c r="Q26" s="6" t="s">
        <v>36</v>
      </c>
      <c r="R26" s="4"/>
      <c r="S26" s="4"/>
      <c r="T26" s="4"/>
      <c r="U26" s="4"/>
      <c r="V26" s="4"/>
    </row>
    <row r="27" customFormat="false" ht="23.85" hidden="false" customHeight="false" outlineLevel="0" collapsed="false">
      <c r="A27" s="4" t="s">
        <v>157</v>
      </c>
      <c r="B27" s="4" t="s">
        <v>139</v>
      </c>
      <c r="C27" s="4" t="s">
        <v>158</v>
      </c>
      <c r="D27" s="5" t="s">
        <v>159</v>
      </c>
      <c r="E27" s="5" t="s">
        <v>159</v>
      </c>
      <c r="F27" s="4" t="s">
        <v>96</v>
      </c>
      <c r="G27" s="4" t="s">
        <v>49</v>
      </c>
      <c r="H27" s="4" t="s">
        <v>30</v>
      </c>
      <c r="I27" s="4" t="s">
        <v>31</v>
      </c>
      <c r="J27" s="4" t="s">
        <v>43</v>
      </c>
      <c r="K27" s="5" t="s">
        <v>33</v>
      </c>
      <c r="L27" s="4" t="n">
        <v>500</v>
      </c>
      <c r="M27" s="4" t="n">
        <v>25</v>
      </c>
      <c r="N27" s="4" t="n">
        <v>0</v>
      </c>
      <c r="O27" s="4" t="s">
        <v>160</v>
      </c>
      <c r="P27" s="4" t="s">
        <v>64</v>
      </c>
      <c r="Q27" s="6" t="s">
        <v>36</v>
      </c>
      <c r="R27" s="4"/>
      <c r="S27" s="4"/>
      <c r="T27" s="4"/>
      <c r="U27" s="4"/>
      <c r="V27" s="4"/>
    </row>
    <row r="28" customFormat="false" ht="23.85" hidden="false" customHeight="false" outlineLevel="0" collapsed="false">
      <c r="A28" s="4" t="s">
        <v>161</v>
      </c>
      <c r="B28" s="4" t="s">
        <v>139</v>
      </c>
      <c r="C28" s="4" t="s">
        <v>162</v>
      </c>
      <c r="D28" s="5" t="s">
        <v>163</v>
      </c>
      <c r="E28" s="5" t="s">
        <v>163</v>
      </c>
      <c r="F28" s="4" t="s">
        <v>77</v>
      </c>
      <c r="G28" s="4" t="s">
        <v>29</v>
      </c>
      <c r="H28" s="4" t="s">
        <v>30</v>
      </c>
      <c r="I28" s="4" t="s">
        <v>42</v>
      </c>
      <c r="J28" s="4" t="s">
        <v>79</v>
      </c>
      <c r="K28" s="5" t="s">
        <v>33</v>
      </c>
      <c r="L28" s="4" t="n">
        <v>240</v>
      </c>
      <c r="M28" s="4" t="n">
        <v>25</v>
      </c>
      <c r="N28" s="4" t="n">
        <v>0</v>
      </c>
      <c r="O28" s="4" t="s">
        <v>164</v>
      </c>
      <c r="P28" s="4" t="s">
        <v>45</v>
      </c>
      <c r="Q28" s="6" t="s">
        <v>36</v>
      </c>
      <c r="R28" s="4"/>
      <c r="S28" s="4"/>
      <c r="T28" s="4"/>
      <c r="U28" s="4"/>
      <c r="V28" s="4"/>
    </row>
    <row r="29" customFormat="false" ht="23.85" hidden="false" customHeight="false" outlineLevel="0" collapsed="false">
      <c r="A29" s="4" t="s">
        <v>165</v>
      </c>
      <c r="B29" s="4" t="s">
        <v>166</v>
      </c>
      <c r="C29" s="4" t="s">
        <v>167</v>
      </c>
      <c r="D29" s="5" t="s">
        <v>168</v>
      </c>
      <c r="E29" s="5" t="s">
        <v>168</v>
      </c>
      <c r="F29" s="4" t="s">
        <v>28</v>
      </c>
      <c r="G29" s="4" t="s">
        <v>49</v>
      </c>
      <c r="H29" s="4" t="s">
        <v>30</v>
      </c>
      <c r="I29" s="4" t="s">
        <v>78</v>
      </c>
      <c r="J29" s="4" t="s">
        <v>169</v>
      </c>
      <c r="K29" s="5" t="s">
        <v>33</v>
      </c>
      <c r="L29" s="4" t="n">
        <v>240</v>
      </c>
      <c r="M29" s="4" t="n">
        <v>3</v>
      </c>
      <c r="N29" s="4" t="n">
        <v>0</v>
      </c>
      <c r="O29" s="4" t="s">
        <v>170</v>
      </c>
      <c r="P29" s="4" t="s">
        <v>35</v>
      </c>
      <c r="Q29" s="6" t="s">
        <v>36</v>
      </c>
      <c r="R29" s="4"/>
      <c r="S29" s="4"/>
      <c r="T29" s="4"/>
      <c r="U29" s="4"/>
      <c r="V29" s="4"/>
    </row>
    <row r="30" customFormat="false" ht="23.85" hidden="false" customHeight="false" outlineLevel="0" collapsed="false">
      <c r="A30" s="4" t="s">
        <v>171</v>
      </c>
      <c r="B30" s="4" t="s">
        <v>166</v>
      </c>
      <c r="C30" s="4" t="s">
        <v>172</v>
      </c>
      <c r="D30" s="5" t="s">
        <v>173</v>
      </c>
      <c r="E30" s="5" t="s">
        <v>173</v>
      </c>
      <c r="F30" s="4" t="s">
        <v>91</v>
      </c>
      <c r="G30" s="4" t="s">
        <v>29</v>
      </c>
      <c r="H30" s="4" t="s">
        <v>41</v>
      </c>
      <c r="I30" s="4" t="s">
        <v>31</v>
      </c>
      <c r="J30" s="4" t="s">
        <v>169</v>
      </c>
      <c r="K30" s="5" t="s">
        <v>33</v>
      </c>
      <c r="L30" s="4" t="n">
        <v>120</v>
      </c>
      <c r="M30" s="4" t="n">
        <v>25</v>
      </c>
      <c r="N30" s="4" t="n">
        <v>2</v>
      </c>
      <c r="O30" s="4" t="s">
        <v>174</v>
      </c>
      <c r="P30" s="4" t="s">
        <v>35</v>
      </c>
      <c r="Q30" s="8" t="s">
        <v>105</v>
      </c>
      <c r="R30" s="4" t="s">
        <v>106</v>
      </c>
      <c r="S30" s="9" t="s">
        <v>175</v>
      </c>
      <c r="T30" s="4" t="s">
        <v>56</v>
      </c>
      <c r="U30" s="4" t="s">
        <v>176</v>
      </c>
      <c r="V30" s="4" t="s">
        <v>177</v>
      </c>
    </row>
    <row r="31" customFormat="false" ht="23.85" hidden="false" customHeight="false" outlineLevel="0" collapsed="false">
      <c r="A31" s="4" t="s">
        <v>178</v>
      </c>
      <c r="B31" s="4" t="s">
        <v>166</v>
      </c>
      <c r="C31" s="4" t="s">
        <v>179</v>
      </c>
      <c r="D31" s="5" t="s">
        <v>180</v>
      </c>
      <c r="E31" s="5" t="s">
        <v>180</v>
      </c>
      <c r="F31" s="4" t="s">
        <v>77</v>
      </c>
      <c r="G31" s="4" t="s">
        <v>29</v>
      </c>
      <c r="H31" s="4" t="s">
        <v>30</v>
      </c>
      <c r="I31" s="4" t="s">
        <v>78</v>
      </c>
      <c r="J31" s="4" t="s">
        <v>181</v>
      </c>
      <c r="K31" s="5" t="s">
        <v>33</v>
      </c>
      <c r="L31" s="4" t="n">
        <v>360</v>
      </c>
      <c r="M31" s="4" t="n">
        <v>3</v>
      </c>
      <c r="N31" s="4" t="n">
        <v>2</v>
      </c>
      <c r="O31" s="4" t="s">
        <v>182</v>
      </c>
      <c r="P31" s="4" t="s">
        <v>35</v>
      </c>
      <c r="Q31" s="8" t="s">
        <v>105</v>
      </c>
      <c r="R31" s="4" t="s">
        <v>106</v>
      </c>
      <c r="S31" s="9" t="s">
        <v>175</v>
      </c>
      <c r="T31" s="4" t="s">
        <v>136</v>
      </c>
      <c r="U31" s="4" t="s">
        <v>183</v>
      </c>
      <c r="V31" s="4" t="s">
        <v>109</v>
      </c>
    </row>
    <row r="32" customFormat="false" ht="23.85" hidden="false" customHeight="false" outlineLevel="0" collapsed="false">
      <c r="A32" s="4" t="s">
        <v>184</v>
      </c>
      <c r="B32" s="4" t="s">
        <v>166</v>
      </c>
      <c r="C32" s="4" t="s">
        <v>185</v>
      </c>
      <c r="D32" s="5" t="s">
        <v>186</v>
      </c>
      <c r="E32" s="5" t="s">
        <v>186</v>
      </c>
      <c r="F32" s="4" t="s">
        <v>62</v>
      </c>
      <c r="G32" s="4" t="s">
        <v>49</v>
      </c>
      <c r="H32" s="4" t="s">
        <v>41</v>
      </c>
      <c r="I32" s="4" t="s">
        <v>78</v>
      </c>
      <c r="J32" s="4" t="s">
        <v>79</v>
      </c>
      <c r="K32" s="5" t="s">
        <v>33</v>
      </c>
      <c r="L32" s="4" t="n">
        <v>360</v>
      </c>
      <c r="M32" s="4" t="n">
        <v>3</v>
      </c>
      <c r="N32" s="4" t="n">
        <v>0</v>
      </c>
      <c r="O32" s="4" t="s">
        <v>187</v>
      </c>
      <c r="P32" s="4" t="s">
        <v>35</v>
      </c>
      <c r="Q32" s="6" t="s">
        <v>36</v>
      </c>
      <c r="R32" s="4"/>
      <c r="S32" s="4"/>
      <c r="T32" s="4"/>
      <c r="U32" s="4"/>
      <c r="V32" s="4"/>
    </row>
    <row r="33" customFormat="false" ht="23.85" hidden="false" customHeight="false" outlineLevel="0" collapsed="false">
      <c r="A33" s="4" t="s">
        <v>188</v>
      </c>
      <c r="B33" s="4" t="s">
        <v>166</v>
      </c>
      <c r="C33" s="4" t="s">
        <v>189</v>
      </c>
      <c r="D33" s="5" t="s">
        <v>190</v>
      </c>
      <c r="E33" s="5" t="s">
        <v>190</v>
      </c>
      <c r="F33" s="4" t="s">
        <v>136</v>
      </c>
      <c r="G33" s="4" t="s">
        <v>29</v>
      </c>
      <c r="H33" s="4" t="s">
        <v>41</v>
      </c>
      <c r="I33" s="4" t="s">
        <v>42</v>
      </c>
      <c r="J33" s="4" t="s">
        <v>169</v>
      </c>
      <c r="K33" s="5" t="s">
        <v>33</v>
      </c>
      <c r="L33" s="4" t="n">
        <v>360</v>
      </c>
      <c r="M33" s="4" t="n">
        <v>25</v>
      </c>
      <c r="N33" s="4" t="n">
        <v>5</v>
      </c>
      <c r="O33" s="4" t="s">
        <v>137</v>
      </c>
      <c r="P33" s="4" t="s">
        <v>64</v>
      </c>
      <c r="Q33" s="7" t="s">
        <v>53</v>
      </c>
      <c r="R33" s="4" t="s">
        <v>106</v>
      </c>
      <c r="S33" s="7" t="s">
        <v>55</v>
      </c>
      <c r="T33" s="4" t="s">
        <v>85</v>
      </c>
      <c r="U33" s="4" t="s">
        <v>191</v>
      </c>
      <c r="V33" s="4" t="s">
        <v>109</v>
      </c>
    </row>
    <row r="34" customFormat="false" ht="23.85" hidden="false" customHeight="false" outlineLevel="0" collapsed="false">
      <c r="A34" s="4" t="s">
        <v>192</v>
      </c>
      <c r="B34" s="4" t="s">
        <v>166</v>
      </c>
      <c r="C34" s="4" t="s">
        <v>193</v>
      </c>
      <c r="D34" s="5" t="s">
        <v>194</v>
      </c>
      <c r="E34" s="5" t="s">
        <v>194</v>
      </c>
      <c r="F34" s="4" t="s">
        <v>62</v>
      </c>
      <c r="G34" s="4" t="s">
        <v>49</v>
      </c>
      <c r="H34" s="4" t="s">
        <v>41</v>
      </c>
      <c r="I34" s="4" t="s">
        <v>78</v>
      </c>
      <c r="J34" s="4" t="s">
        <v>195</v>
      </c>
      <c r="K34" s="5" t="s">
        <v>33</v>
      </c>
      <c r="L34" s="4" t="n">
        <v>500</v>
      </c>
      <c r="M34" s="4" t="n">
        <v>3</v>
      </c>
      <c r="N34" s="4" t="n">
        <v>1</v>
      </c>
      <c r="O34" s="4" t="s">
        <v>196</v>
      </c>
      <c r="P34" s="4" t="s">
        <v>35</v>
      </c>
      <c r="Q34" s="7" t="s">
        <v>53</v>
      </c>
      <c r="R34" s="4" t="s">
        <v>54</v>
      </c>
      <c r="S34" s="7" t="s">
        <v>55</v>
      </c>
      <c r="T34" s="4" t="s">
        <v>197</v>
      </c>
      <c r="U34" s="4" t="s">
        <v>198</v>
      </c>
      <c r="V34" s="4" t="s">
        <v>58</v>
      </c>
    </row>
    <row r="35" customFormat="false" ht="23.85" hidden="false" customHeight="false" outlineLevel="0" collapsed="false">
      <c r="A35" s="4" t="s">
        <v>199</v>
      </c>
      <c r="B35" s="4" t="s">
        <v>200</v>
      </c>
      <c r="C35" s="4" t="s">
        <v>201</v>
      </c>
      <c r="D35" s="5" t="s">
        <v>202</v>
      </c>
      <c r="E35" s="5" t="s">
        <v>202</v>
      </c>
      <c r="F35" s="4" t="s">
        <v>96</v>
      </c>
      <c r="G35" s="4" t="s">
        <v>49</v>
      </c>
      <c r="H35" s="4" t="s">
        <v>30</v>
      </c>
      <c r="I35" s="4" t="s">
        <v>78</v>
      </c>
      <c r="J35" s="4" t="s">
        <v>146</v>
      </c>
      <c r="K35" s="5" t="s">
        <v>33</v>
      </c>
      <c r="L35" s="4" t="n">
        <v>120</v>
      </c>
      <c r="M35" s="4" t="n">
        <v>3</v>
      </c>
      <c r="N35" s="4" t="n">
        <v>0</v>
      </c>
      <c r="O35" s="4" t="s">
        <v>203</v>
      </c>
      <c r="P35" s="4" t="s">
        <v>35</v>
      </c>
      <c r="Q35" s="6" t="s">
        <v>36</v>
      </c>
      <c r="R35" s="4"/>
      <c r="S35" s="4"/>
      <c r="T35" s="4"/>
      <c r="U35" s="4"/>
      <c r="V35" s="4"/>
    </row>
    <row r="36" customFormat="false" ht="23.85" hidden="false" customHeight="false" outlineLevel="0" collapsed="false">
      <c r="A36" s="4" t="s">
        <v>204</v>
      </c>
      <c r="B36" s="4" t="s">
        <v>200</v>
      </c>
      <c r="C36" s="4" t="s">
        <v>205</v>
      </c>
      <c r="D36" s="5" t="s">
        <v>206</v>
      </c>
      <c r="E36" s="5" t="s">
        <v>206</v>
      </c>
      <c r="F36" s="4" t="s">
        <v>77</v>
      </c>
      <c r="G36" s="4" t="s">
        <v>29</v>
      </c>
      <c r="H36" s="4" t="s">
        <v>30</v>
      </c>
      <c r="I36" s="4" t="s">
        <v>42</v>
      </c>
      <c r="J36" s="4" t="s">
        <v>32</v>
      </c>
      <c r="K36" s="5" t="s">
        <v>33</v>
      </c>
      <c r="L36" s="4" t="n">
        <v>240</v>
      </c>
      <c r="M36" s="4" t="n">
        <v>25</v>
      </c>
      <c r="N36" s="4" t="n">
        <v>0</v>
      </c>
      <c r="O36" s="4" t="s">
        <v>80</v>
      </c>
      <c r="P36" s="4" t="s">
        <v>45</v>
      </c>
      <c r="Q36" s="6" t="s">
        <v>36</v>
      </c>
      <c r="R36" s="4"/>
      <c r="S36" s="4"/>
      <c r="T36" s="4"/>
      <c r="U36" s="4"/>
      <c r="V36" s="4"/>
    </row>
    <row r="37" customFormat="false" ht="23.85" hidden="false" customHeight="false" outlineLevel="0" collapsed="false">
      <c r="A37" s="4" t="s">
        <v>207</v>
      </c>
      <c r="B37" s="4" t="s">
        <v>200</v>
      </c>
      <c r="C37" s="4" t="s">
        <v>208</v>
      </c>
      <c r="D37" s="5" t="s">
        <v>209</v>
      </c>
      <c r="E37" s="5" t="s">
        <v>209</v>
      </c>
      <c r="F37" s="4" t="s">
        <v>56</v>
      </c>
      <c r="G37" s="4" t="s">
        <v>49</v>
      </c>
      <c r="H37" s="4" t="s">
        <v>30</v>
      </c>
      <c r="I37" s="4" t="s">
        <v>78</v>
      </c>
      <c r="J37" s="4" t="s">
        <v>86</v>
      </c>
      <c r="K37" s="5" t="s">
        <v>33</v>
      </c>
      <c r="L37" s="4" t="n">
        <v>360</v>
      </c>
      <c r="M37" s="4" t="n">
        <v>3</v>
      </c>
      <c r="N37" s="4" t="n">
        <v>0</v>
      </c>
      <c r="O37" s="4" t="s">
        <v>210</v>
      </c>
      <c r="P37" s="4" t="s">
        <v>35</v>
      </c>
      <c r="Q37" s="6" t="s">
        <v>36</v>
      </c>
      <c r="R37" s="4"/>
      <c r="S37" s="4"/>
      <c r="T37" s="4"/>
      <c r="U37" s="4"/>
      <c r="V37" s="4"/>
    </row>
    <row r="38" customFormat="false" ht="23.85" hidden="false" customHeight="false" outlineLevel="0" collapsed="false">
      <c r="A38" s="4" t="s">
        <v>211</v>
      </c>
      <c r="B38" s="4" t="s">
        <v>200</v>
      </c>
      <c r="C38" s="4" t="s">
        <v>212</v>
      </c>
      <c r="D38" s="5" t="s">
        <v>213</v>
      </c>
      <c r="E38" s="5" t="s">
        <v>213</v>
      </c>
      <c r="F38" s="4" t="s">
        <v>56</v>
      </c>
      <c r="G38" s="4" t="s">
        <v>29</v>
      </c>
      <c r="H38" s="4" t="s">
        <v>30</v>
      </c>
      <c r="I38" s="4" t="s">
        <v>31</v>
      </c>
      <c r="J38" s="4" t="s">
        <v>51</v>
      </c>
      <c r="K38" s="5" t="s">
        <v>33</v>
      </c>
      <c r="L38" s="4" t="n">
        <v>360</v>
      </c>
      <c r="M38" s="4" t="n">
        <v>25</v>
      </c>
      <c r="N38" s="4" t="n">
        <v>0</v>
      </c>
      <c r="O38" s="4" t="s">
        <v>214</v>
      </c>
      <c r="P38" s="4" t="s">
        <v>45</v>
      </c>
      <c r="Q38" s="6" t="s">
        <v>36</v>
      </c>
      <c r="R38" s="4"/>
      <c r="S38" s="4"/>
      <c r="T38" s="4"/>
      <c r="U38" s="4"/>
      <c r="V38" s="4"/>
    </row>
    <row r="39" customFormat="false" ht="23.85" hidden="false" customHeight="false" outlineLevel="0" collapsed="false">
      <c r="A39" s="4" t="s">
        <v>215</v>
      </c>
      <c r="B39" s="4" t="s">
        <v>200</v>
      </c>
      <c r="C39" s="4" t="s">
        <v>216</v>
      </c>
      <c r="D39" s="5" t="s">
        <v>217</v>
      </c>
      <c r="E39" s="5" t="s">
        <v>217</v>
      </c>
      <c r="F39" s="4" t="s">
        <v>56</v>
      </c>
      <c r="G39" s="4" t="s">
        <v>49</v>
      </c>
      <c r="H39" s="4" t="s">
        <v>30</v>
      </c>
      <c r="I39" s="4" t="s">
        <v>42</v>
      </c>
      <c r="J39" s="4" t="s">
        <v>43</v>
      </c>
      <c r="K39" s="5" t="s">
        <v>33</v>
      </c>
      <c r="L39" s="4" t="n">
        <v>360</v>
      </c>
      <c r="M39" s="4" t="n">
        <v>25</v>
      </c>
      <c r="N39" s="4" t="n">
        <v>0</v>
      </c>
      <c r="O39" s="4" t="s">
        <v>218</v>
      </c>
      <c r="P39" s="4" t="s">
        <v>45</v>
      </c>
      <c r="Q39" s="6" t="s">
        <v>36</v>
      </c>
      <c r="R39" s="4"/>
      <c r="S39" s="4"/>
      <c r="T39" s="4"/>
      <c r="U39" s="4"/>
      <c r="V39" s="4"/>
    </row>
  </sheetData>
  <autoFilter ref="A4:V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1"/>
  </cols>
  <sheetData>
    <row r="1" customFormat="false" ht="16.15" hidden="false" customHeight="false" outlineLevel="0" collapsed="false">
      <c r="A1" s="10" t="s">
        <v>219</v>
      </c>
    </row>
    <row r="3" customFormat="false" ht="15" hidden="false" customHeight="false" outlineLevel="0" collapsed="false">
      <c r="A3" s="11" t="s">
        <v>220</v>
      </c>
      <c r="B3" s="11" t="s">
        <v>221</v>
      </c>
      <c r="D3" s="11" t="s">
        <v>3</v>
      </c>
      <c r="E3" s="11" t="s">
        <v>222</v>
      </c>
      <c r="F3" s="11" t="s">
        <v>223</v>
      </c>
    </row>
    <row r="4" customFormat="false" ht="15" hidden="false" customHeight="false" outlineLevel="0" collapsed="false">
      <c r="A4" s="0" t="s">
        <v>36</v>
      </c>
      <c r="B4" s="0" t="n">
        <f aca="false">COUNTIF(RCM_Tracker!$Q$5:$Q$39,"Pass")</f>
        <v>28</v>
      </c>
      <c r="D4" s="0" t="s">
        <v>139</v>
      </c>
      <c r="E4" s="0" t="n">
        <f aca="false">COUNTIF(RCM_Tracker!$B$5:$B$39,"Financial Close")</f>
        <v>6</v>
      </c>
      <c r="F4" s="12" t="n">
        <f aca="false">IFERROR(COUNTIFS(RCM_Tracker!$B$5:$B$39,"Financial Close",RCM_Tracker!$Q$5:$Q$39,"Pass")/E4,0)</f>
        <v>1</v>
      </c>
    </row>
    <row r="5" customFormat="false" ht="15" hidden="false" customHeight="false" outlineLevel="0" collapsed="false">
      <c r="A5" s="0" t="s">
        <v>105</v>
      </c>
      <c r="B5" s="0" t="n">
        <f aca="false">COUNTIF(RCM_Tracker!$Q$5:$Q$39,"Exception")</f>
        <v>3</v>
      </c>
      <c r="D5" s="0" t="s">
        <v>166</v>
      </c>
      <c r="E5" s="0" t="n">
        <f aca="false">COUNTIF(RCM_Tracker!$B$5:$B$39,"ITGC")</f>
        <v>6</v>
      </c>
      <c r="F5" s="12" t="n">
        <f aca="false">IFERROR(COUNTIFS(RCM_Tracker!$B$5:$B$39,"ITGC",RCM_Tracker!$Q$5:$Q$39,"Pass")/E5,0)</f>
        <v>0.333333333333333</v>
      </c>
    </row>
    <row r="6" customFormat="false" ht="15" hidden="false" customHeight="false" outlineLevel="0" collapsed="false">
      <c r="A6" s="0" t="s">
        <v>53</v>
      </c>
      <c r="B6" s="0" t="n">
        <f aca="false">COUNTIF(RCM_Tracker!$Q$5:$Q$39,"Fail")</f>
        <v>4</v>
      </c>
      <c r="D6" s="0" t="s">
        <v>82</v>
      </c>
      <c r="E6" s="0" t="n">
        <f aca="false">COUNTIF(RCM_Tracker!$B$5:$B$39,"Order-to-Cash")</f>
        <v>6</v>
      </c>
      <c r="F6" s="12" t="n">
        <f aca="false">IFERROR(COUNTIFS(RCM_Tracker!$B$5:$B$39,"Order-to-Cash",RCM_Tracker!$Q$5:$Q$39,"Pass")/E6,0)</f>
        <v>0.833333333333333</v>
      </c>
    </row>
    <row r="7" customFormat="false" ht="15" hidden="false" customHeight="false" outlineLevel="0" collapsed="false">
      <c r="D7" s="0" t="s">
        <v>115</v>
      </c>
      <c r="E7" s="0" t="n">
        <f aca="false">COUNTIF(RCM_Tracker!$B$5:$B$39,"Payroll")</f>
        <v>5</v>
      </c>
      <c r="F7" s="12" t="n">
        <f aca="false">IFERROR(COUNTIFS(RCM_Tracker!$B$5:$B$39,"Payroll",RCM_Tracker!$Q$5:$Q$39,"Pass")/E7,0)</f>
        <v>0.8</v>
      </c>
    </row>
    <row r="8" customFormat="false" ht="15" hidden="false" customHeight="false" outlineLevel="0" collapsed="false">
      <c r="D8" s="0" t="s">
        <v>25</v>
      </c>
      <c r="E8" s="0" t="n">
        <f aca="false">COUNTIF(RCM_Tracker!$B$5:$B$39,"Procure-to-Pay")</f>
        <v>7</v>
      </c>
      <c r="F8" s="12" t="n">
        <f aca="false">IFERROR(COUNTIFS(RCM_Tracker!$B$5:$B$39,"Procure-to-Pay",RCM_Tracker!$Q$5:$Q$39,"Pass")/E8,0)</f>
        <v>0.857142857142857</v>
      </c>
    </row>
    <row r="9" customFormat="false" ht="15" hidden="false" customHeight="false" outlineLevel="0" collapsed="false">
      <c r="D9" s="0" t="s">
        <v>200</v>
      </c>
      <c r="E9" s="0" t="n">
        <f aca="false">COUNTIF(RCM_Tracker!$B$5:$B$39,"Treasury")</f>
        <v>5</v>
      </c>
      <c r="F9" s="12" t="n">
        <f aca="false">IFERROR(COUNTIFS(RCM_Tracker!$B$5:$B$39,"Treasury",RCM_Tracker!$Q$5:$Q$39,"Pass")/E9,0)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2026-07-22T03:47:27Z</dcterms:created>
  <dc:creator>openpyxl</dc:creator>
  <dc:description/>
  <dc:language>en-US</dc:language>
  <cp:lastModifiedBy/>
  <dcterms:modified xsi:type="dcterms:W3CDTF">2026-07-22T03:47:27Z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